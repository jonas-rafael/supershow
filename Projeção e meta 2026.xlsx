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05 - Vendedor das redes AS\"/>
    </mc:Choice>
  </mc:AlternateContent>
  <xr:revisionPtr revIDLastSave="0" documentId="13_ncr:1_{9DE06141-A753-478F-9011-91DD13E2F699}" xr6:coauthVersionLast="47" xr6:coauthVersionMax="47" xr10:uidLastSave="{00000000-0000-0000-0000-000000000000}"/>
  <bookViews>
    <workbookView xWindow="-108" yWindow="-108" windowWidth="23256" windowHeight="12456" xr2:uid="{FDE2E9A5-AFBD-4D0F-8615-1387C38FA132}"/>
  </bookViews>
  <sheets>
    <sheet name="MA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  <c r="E56" i="1" s="1"/>
  <c r="F57" i="1"/>
  <c r="G57" i="1" s="1"/>
  <c r="H57" i="1" s="1"/>
  <c r="E57" i="1"/>
  <c r="F56" i="1"/>
  <c r="G56" i="1" s="1"/>
  <c r="H56" i="1" s="1"/>
  <c r="F55" i="1"/>
  <c r="G55" i="1" s="1"/>
  <c r="H55" i="1" s="1"/>
  <c r="E55" i="1"/>
  <c r="F54" i="1"/>
  <c r="G54" i="1" s="1"/>
  <c r="H54" i="1" s="1"/>
  <c r="E54" i="1"/>
  <c r="F53" i="1"/>
  <c r="G53" i="1" s="1"/>
  <c r="H53" i="1" s="1"/>
  <c r="F52" i="1"/>
  <c r="G52" i="1" s="1"/>
  <c r="H52" i="1" s="1"/>
  <c r="E52" i="1"/>
  <c r="F51" i="1"/>
  <c r="G51" i="1" s="1"/>
  <c r="H51" i="1" s="1"/>
  <c r="E51" i="1"/>
  <c r="F50" i="1"/>
  <c r="G50" i="1" s="1"/>
  <c r="H50" i="1" s="1"/>
  <c r="F49" i="1"/>
  <c r="G49" i="1" s="1"/>
  <c r="H49" i="1" s="1"/>
  <c r="E49" i="1"/>
  <c r="F48" i="1"/>
  <c r="G48" i="1" s="1"/>
  <c r="H48" i="1" s="1"/>
  <c r="E48" i="1"/>
  <c r="F47" i="1"/>
  <c r="G47" i="1" s="1"/>
  <c r="H47" i="1" s="1"/>
  <c r="F46" i="1"/>
  <c r="G46" i="1" s="1"/>
  <c r="H46" i="1" s="1"/>
  <c r="E46" i="1"/>
  <c r="F45" i="1"/>
  <c r="G45" i="1" s="1"/>
  <c r="H45" i="1" s="1"/>
  <c r="E45" i="1"/>
  <c r="F44" i="1"/>
  <c r="G44" i="1" s="1"/>
  <c r="H44" i="1" s="1"/>
  <c r="F43" i="1"/>
  <c r="G43" i="1" s="1"/>
  <c r="H43" i="1" s="1"/>
  <c r="E43" i="1"/>
  <c r="F42" i="1"/>
  <c r="G42" i="1" s="1"/>
  <c r="H42" i="1" s="1"/>
  <c r="E42" i="1"/>
  <c r="F41" i="1"/>
  <c r="G41" i="1" s="1"/>
  <c r="H41" i="1" s="1"/>
  <c r="F40" i="1"/>
  <c r="G40" i="1" s="1"/>
  <c r="H40" i="1" s="1"/>
  <c r="E40" i="1"/>
  <c r="F39" i="1"/>
  <c r="G39" i="1" s="1"/>
  <c r="H39" i="1" s="1"/>
  <c r="E39" i="1"/>
  <c r="F38" i="1"/>
  <c r="G38" i="1" s="1"/>
  <c r="H38" i="1" s="1"/>
  <c r="F37" i="1"/>
  <c r="G37" i="1" s="1"/>
  <c r="H37" i="1" s="1"/>
  <c r="E37" i="1"/>
  <c r="F36" i="1"/>
  <c r="G36" i="1" s="1"/>
  <c r="H36" i="1" s="1"/>
  <c r="E36" i="1"/>
  <c r="F35" i="1"/>
  <c r="G35" i="1" s="1"/>
  <c r="H35" i="1" s="1"/>
  <c r="F34" i="1"/>
  <c r="G34" i="1" s="1"/>
  <c r="H34" i="1" s="1"/>
  <c r="E34" i="1"/>
  <c r="F33" i="1"/>
  <c r="G33" i="1" s="1"/>
  <c r="H33" i="1" s="1"/>
  <c r="E33" i="1"/>
  <c r="F32" i="1"/>
  <c r="G32" i="1" s="1"/>
  <c r="H32" i="1" s="1"/>
  <c r="F31" i="1"/>
  <c r="G31" i="1" s="1"/>
  <c r="H31" i="1" s="1"/>
  <c r="E31" i="1"/>
  <c r="F30" i="1"/>
  <c r="G30" i="1" s="1"/>
  <c r="H30" i="1" s="1"/>
  <c r="E30" i="1"/>
  <c r="F29" i="1"/>
  <c r="G29" i="1" s="1"/>
  <c r="H29" i="1" s="1"/>
  <c r="F28" i="1"/>
  <c r="G28" i="1" s="1"/>
  <c r="H28" i="1" s="1"/>
  <c r="E28" i="1"/>
  <c r="F27" i="1"/>
  <c r="G27" i="1" s="1"/>
  <c r="H27" i="1" s="1"/>
  <c r="E27" i="1"/>
  <c r="F26" i="1"/>
  <c r="G26" i="1" s="1"/>
  <c r="H26" i="1" s="1"/>
  <c r="F25" i="1"/>
  <c r="G25" i="1" s="1"/>
  <c r="H25" i="1" s="1"/>
  <c r="E25" i="1"/>
  <c r="F24" i="1"/>
  <c r="G24" i="1" s="1"/>
  <c r="H24" i="1" s="1"/>
  <c r="E24" i="1"/>
  <c r="F23" i="1"/>
  <c r="G23" i="1" s="1"/>
  <c r="H23" i="1" s="1"/>
  <c r="F22" i="1"/>
  <c r="G22" i="1" s="1"/>
  <c r="H22" i="1" s="1"/>
  <c r="E22" i="1"/>
  <c r="F21" i="1"/>
  <c r="G21" i="1" s="1"/>
  <c r="H21" i="1" s="1"/>
  <c r="E21" i="1"/>
  <c r="F20" i="1"/>
  <c r="G20" i="1" s="1"/>
  <c r="H20" i="1" s="1"/>
  <c r="F19" i="1"/>
  <c r="G19" i="1" s="1"/>
  <c r="H19" i="1" s="1"/>
  <c r="E19" i="1"/>
  <c r="F18" i="1"/>
  <c r="G18" i="1" s="1"/>
  <c r="H18" i="1" s="1"/>
  <c r="E18" i="1"/>
  <c r="F17" i="1"/>
  <c r="G17" i="1" s="1"/>
  <c r="H17" i="1" s="1"/>
  <c r="F16" i="1"/>
  <c r="G16" i="1" s="1"/>
  <c r="H16" i="1" s="1"/>
  <c r="E16" i="1"/>
  <c r="F15" i="1"/>
  <c r="G15" i="1" s="1"/>
  <c r="H15" i="1" s="1"/>
  <c r="E15" i="1"/>
  <c r="F14" i="1"/>
  <c r="G14" i="1" s="1"/>
  <c r="H14" i="1" s="1"/>
  <c r="F13" i="1"/>
  <c r="G13" i="1" s="1"/>
  <c r="H13" i="1" s="1"/>
  <c r="E13" i="1"/>
  <c r="F12" i="1"/>
  <c r="G12" i="1" s="1"/>
  <c r="H12" i="1" s="1"/>
  <c r="E12" i="1"/>
  <c r="F11" i="1"/>
  <c r="G11" i="1" s="1"/>
  <c r="H11" i="1" s="1"/>
  <c r="F10" i="1"/>
  <c r="G10" i="1" s="1"/>
  <c r="H10" i="1" s="1"/>
  <c r="E10" i="1"/>
  <c r="F9" i="1"/>
  <c r="G9" i="1" s="1"/>
  <c r="H9" i="1" s="1"/>
  <c r="E9" i="1"/>
  <c r="F8" i="1"/>
  <c r="G8" i="1" s="1"/>
  <c r="H8" i="1" s="1"/>
  <c r="F7" i="1"/>
  <c r="G7" i="1" s="1"/>
  <c r="H7" i="1" s="1"/>
  <c r="E7" i="1"/>
  <c r="F6" i="1"/>
  <c r="G6" i="1" s="1"/>
  <c r="H6" i="1" s="1"/>
  <c r="E6" i="1"/>
  <c r="F5" i="1"/>
  <c r="G5" i="1" s="1"/>
  <c r="H5" i="1" s="1"/>
  <c r="F4" i="1"/>
  <c r="G4" i="1" s="1"/>
  <c r="H4" i="1" s="1"/>
  <c r="E4" i="1"/>
  <c r="F3" i="1"/>
  <c r="G3" i="1" s="1"/>
  <c r="H3" i="1" s="1"/>
  <c r="E3" i="1"/>
  <c r="F2" i="1"/>
  <c r="F58" i="1" l="1"/>
  <c r="G2" i="1"/>
  <c r="E2" i="1"/>
  <c r="E5" i="1"/>
  <c r="E8" i="1"/>
  <c r="E11" i="1"/>
  <c r="E14" i="1"/>
  <c r="E17" i="1"/>
  <c r="E20" i="1"/>
  <c r="E23" i="1"/>
  <c r="E26" i="1"/>
  <c r="E29" i="1"/>
  <c r="E32" i="1"/>
  <c r="E35" i="1"/>
  <c r="E38" i="1"/>
  <c r="E41" i="1"/>
  <c r="E44" i="1"/>
  <c r="E47" i="1"/>
  <c r="E50" i="1"/>
  <c r="E53" i="1"/>
  <c r="E58" i="1" l="1"/>
  <c r="G58" i="1"/>
  <c r="H2" i="1"/>
  <c r="H58" i="1" s="1"/>
</calcChain>
</file>

<file path=xl/sharedStrings.xml><?xml version="1.0" encoding="utf-8"?>
<sst xmlns="http://schemas.openxmlformats.org/spreadsheetml/2006/main" count="121" uniqueCount="75">
  <si>
    <t>ORDEM</t>
  </si>
  <si>
    <t>LOJA</t>
  </si>
  <si>
    <t>FATURADO EM ABRIL</t>
  </si>
  <si>
    <t>PESO %</t>
  </si>
  <si>
    <t>META DA SEMANA</t>
  </si>
  <si>
    <t>META DO DIA</t>
  </si>
  <si>
    <t>BOM DIA ALECRIM</t>
  </si>
  <si>
    <t>BOM DIA NOVA NATAL</t>
  </si>
  <si>
    <t>BOM DIA PARNAMIRIM</t>
  </si>
  <si>
    <t>BOM DIA PETROPOLIS</t>
  </si>
  <si>
    <t>BOM DIA SANTA CATARINA</t>
  </si>
  <si>
    <t>FAVORITO AIRTON SENNA</t>
  </si>
  <si>
    <t>FAVORITO ATACADO</t>
  </si>
  <si>
    <t xml:space="preserve">FAVORITO CENTRO DE PARNAMIRIM </t>
  </si>
  <si>
    <t>FAVORITO PONTA NEGRA</t>
  </si>
  <si>
    <t>FAVORITO ZN</t>
  </si>
  <si>
    <t>FROTA LOJA 1</t>
  </si>
  <si>
    <t>FROTA LOJA 2</t>
  </si>
  <si>
    <t>MAR VERMELHO CANDELARIA</t>
  </si>
  <si>
    <t>MAR VERMELHO PARNAMIRIM</t>
  </si>
  <si>
    <t xml:space="preserve">MAR VERMELHO ZONA NORTE </t>
  </si>
  <si>
    <t>NORDESTÃO 1</t>
  </si>
  <si>
    <t>NORDESTAO 2</t>
  </si>
  <si>
    <t>NORDESTÃO 3</t>
  </si>
  <si>
    <t>NORDESTÃO 4</t>
  </si>
  <si>
    <t>NORDESTÃO 5</t>
  </si>
  <si>
    <t>NORDESTÃO 6</t>
  </si>
  <si>
    <t>NORDESTÃO 7</t>
  </si>
  <si>
    <t>NORDESTÃO 8</t>
  </si>
  <si>
    <t>NORDESTÃO 9</t>
  </si>
  <si>
    <t>NORDESTÃO ABOLIÇÃO</t>
  </si>
  <si>
    <t>NORDESTÃO DOZE ANOS</t>
  </si>
  <si>
    <t>NORDESTÃO ROTA DO SOL</t>
  </si>
  <si>
    <t>PÃO DE AÇUCAR</t>
  </si>
  <si>
    <t>QUEIROZ ATACADO LESTE OESTE</t>
  </si>
  <si>
    <t>QUEIROZ BH</t>
  </si>
  <si>
    <t>QUEIROZ BOA VISTA</t>
  </si>
  <si>
    <t>QUEIROZ NOVA BETANIA</t>
  </si>
  <si>
    <t>QUEIROZ PARNAMIRIM  COPAB</t>
  </si>
  <si>
    <t xml:space="preserve">QUEIROZ PARNAMIRIM MONTE CASTELO </t>
  </si>
  <si>
    <t>QUEIROZ SÃO GONÇALO DO AMARANTE</t>
  </si>
  <si>
    <t xml:space="preserve">QUEIROZ SATÉLITE </t>
  </si>
  <si>
    <t>REBOUÇAS ALTO</t>
  </si>
  <si>
    <t>REBOUÇAS BH</t>
  </si>
  <si>
    <t>REBOUÇAS CENTRO</t>
  </si>
  <si>
    <t>REBOUÇAS SANDO ANTONIO</t>
  </si>
  <si>
    <t>REDE MAIS PAJUÇARA</t>
  </si>
  <si>
    <t xml:space="preserve">REDE MAIS PARNAMIRIM </t>
  </si>
  <si>
    <t>REDE MAIS PARQUE DOS COQUEIROS</t>
  </si>
  <si>
    <t>SUPER COOP DIXSET ROSADO</t>
  </si>
  <si>
    <t>SUPER COOP ROCAS</t>
  </si>
  <si>
    <t>SUPER FACIL ALTO</t>
  </si>
  <si>
    <t>SUPER FACIL EMAUS</t>
  </si>
  <si>
    <t>SUPER FACIL MOEMA TINOCO</t>
  </si>
  <si>
    <t>SUPER FACIL RODOVIARIA</t>
  </si>
  <si>
    <t>SUPER FACIL VALE DO SOL</t>
  </si>
  <si>
    <t>SUPER FACIL ZN</t>
  </si>
  <si>
    <t>SUPER SHOW FELIPE CAMARÃO</t>
  </si>
  <si>
    <t>SUPER SHOW GOMES ( Jardins )</t>
  </si>
  <si>
    <t>SUPER SHOW ROSA DOS VENTOS</t>
  </si>
  <si>
    <t>SUPERCOP CASA VERDE PARNAMIRIM</t>
  </si>
  <si>
    <t>TOTAL</t>
  </si>
  <si>
    <t>REDE</t>
  </si>
  <si>
    <t>BOM DIA</t>
  </si>
  <si>
    <t>FAVORITO</t>
  </si>
  <si>
    <t>FROTA</t>
  </si>
  <si>
    <t>MAR VERMELHO</t>
  </si>
  <si>
    <t>NORDESTÃO</t>
  </si>
  <si>
    <t xml:space="preserve">QUEIROZ  </t>
  </si>
  <si>
    <t>REBOUÇAS</t>
  </si>
  <si>
    <t>REDE MAIS</t>
  </si>
  <si>
    <t>SUPERCOOP</t>
  </si>
  <si>
    <t>SUPER FACIL NOVA BETANIA</t>
  </si>
  <si>
    <t>SUPER SHOW</t>
  </si>
  <si>
    <t>META DE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</si>
</sst>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44" fontId="0" fillId="0" borderId="1" xfId="1" applyFon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44" fontId="0" fillId="0" borderId="1" xfId="1" applyFont="1" applyBorder="1"/>
    <xf numFmtId="0" fontId="0" fillId="2" borderId="1" xfId="0" applyFill="1" applyBorder="1"/>
    <xf numFmtId="44" fontId="0" fillId="0" borderId="1" xfId="1" applyFont="1" applyFill="1" applyBorder="1" applyAlignment="1">
      <alignment horizontal="center"/>
    </xf>
    <xf numFmtId="44" fontId="0" fillId="2" borderId="1" xfId="1" applyFont="1" applyFill="1" applyBorder="1" applyAlignment="1">
      <alignment horizontal="center" vertical="center"/>
    </xf>
    <xf numFmtId="0" fontId="0" fillId="3" borderId="1" xfId="0" applyFill="1" applyBorder="1"/>
    <xf numFmtId="44" fontId="0" fillId="3" borderId="1" xfId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C820-8BAA-410B-85EC-E2D580188CF2}">
  <dimension ref="A1:H58"/>
  <sheetViews>
    <sheetView tabSelected="1" workbookViewId="0">
      <selection activeCell="F2" sqref="F2"/>
    </sheetView>
  </sheetViews>
  <sheetFormatPr defaultRowHeight="14.4" x14ac:dyDescent="0.3"/>
  <cols>
    <col min="1" max="1" width="7.109375" style="4" bestFit="1" customWidth="1"/>
    <col min="2" max="2" width="34.44140625" bestFit="1" customWidth="1"/>
    <col min="3" max="3" width="34.44140625" customWidth="1"/>
    <col min="4" max="4" width="18" style="15" bestFit="1" customWidth="1"/>
    <col min="5" max="5" width="8" style="16" bestFit="1" customWidth="1"/>
    <col min="6" max="6" width="14" style="17" bestFit="1" customWidth="1"/>
    <col min="7" max="7" width="15.5546875" style="17" bestFit="1" customWidth="1"/>
    <col min="8" max="8" width="12.88671875" style="17" bestFit="1" customWidth="1"/>
  </cols>
  <sheetData>
    <row r="1" spans="1:8" s="4" customFormat="1" x14ac:dyDescent="0.3">
      <c r="A1" s="1" t="s">
        <v>0</v>
      </c>
      <c r="B1" s="1" t="s">
        <v>1</v>
      </c>
      <c r="C1" s="1" t="s">
        <v>62</v>
      </c>
      <c r="D1" s="2" t="s">
        <v>2</v>
      </c>
      <c r="E1" s="3" t="s">
        <v>3</v>
      </c>
      <c r="F1" s="2" t="s">
        <v>74</v>
      </c>
      <c r="G1" s="2" t="s">
        <v>4</v>
      </c>
      <c r="H1" s="2" t="s">
        <v>5</v>
      </c>
    </row>
    <row r="2" spans="1:8" x14ac:dyDescent="0.3">
      <c r="A2" s="1">
        <v>1</v>
      </c>
      <c r="B2" s="5" t="s">
        <v>6</v>
      </c>
      <c r="C2" s="5" t="s">
        <v>63</v>
      </c>
      <c r="D2" s="6">
        <v>5759.7</v>
      </c>
      <c r="E2" s="7">
        <f t="shared" ref="E2:E57" si="0">D2/$D$58</f>
        <v>1.9721430556147626E-2</v>
      </c>
      <c r="F2" s="8">
        <f t="shared" ref="F2:F57" si="1">ROUND((D2/SUM($D$2:$D$57))*300000,2)</f>
        <v>5916.43</v>
      </c>
      <c r="G2" s="8">
        <f t="shared" ref="G2:G57" si="2">F2/4</f>
        <v>1479.1075000000001</v>
      </c>
      <c r="H2" s="8">
        <f t="shared" ref="H2:H57" si="3">G2/5</f>
        <v>295.82150000000001</v>
      </c>
    </row>
    <row r="3" spans="1:8" x14ac:dyDescent="0.3">
      <c r="A3" s="1">
        <v>2</v>
      </c>
      <c r="B3" s="5" t="s">
        <v>7</v>
      </c>
      <c r="C3" s="5" t="s">
        <v>63</v>
      </c>
      <c r="D3" s="10">
        <v>1643.4</v>
      </c>
      <c r="E3" s="7">
        <f t="shared" si="0"/>
        <v>5.6270637317869009E-3</v>
      </c>
      <c r="F3" s="8">
        <f t="shared" si="1"/>
        <v>1688.12</v>
      </c>
      <c r="G3" s="8">
        <f t="shared" si="2"/>
        <v>422.03</v>
      </c>
      <c r="H3" s="8">
        <f t="shared" si="3"/>
        <v>84.405999999999992</v>
      </c>
    </row>
    <row r="4" spans="1:8" x14ac:dyDescent="0.3">
      <c r="A4" s="1">
        <v>3</v>
      </c>
      <c r="B4" s="5" t="s">
        <v>8</v>
      </c>
      <c r="C4" s="5" t="s">
        <v>63</v>
      </c>
      <c r="D4" s="6">
        <v>1543.84</v>
      </c>
      <c r="E4" s="7">
        <f t="shared" si="0"/>
        <v>5.2861665277363313E-3</v>
      </c>
      <c r="F4" s="8">
        <f t="shared" si="1"/>
        <v>1585.85</v>
      </c>
      <c r="G4" s="8">
        <f t="shared" si="2"/>
        <v>396.46249999999998</v>
      </c>
      <c r="H4" s="8">
        <f t="shared" si="3"/>
        <v>79.29249999999999</v>
      </c>
    </row>
    <row r="5" spans="1:8" x14ac:dyDescent="0.3">
      <c r="A5" s="1">
        <v>4</v>
      </c>
      <c r="B5" s="5" t="s">
        <v>9</v>
      </c>
      <c r="C5" s="5" t="s">
        <v>63</v>
      </c>
      <c r="D5" s="6">
        <v>1972.68</v>
      </c>
      <c r="E5" s="7">
        <f t="shared" si="0"/>
        <v>6.7545309008283944E-3</v>
      </c>
      <c r="F5" s="8">
        <f t="shared" si="1"/>
        <v>2026.36</v>
      </c>
      <c r="G5" s="8">
        <f t="shared" si="2"/>
        <v>506.59</v>
      </c>
      <c r="H5" s="8">
        <f t="shared" si="3"/>
        <v>101.318</v>
      </c>
    </row>
    <row r="6" spans="1:8" x14ac:dyDescent="0.3">
      <c r="A6" s="1">
        <v>5</v>
      </c>
      <c r="B6" s="5" t="s">
        <v>10</v>
      </c>
      <c r="C6" s="5" t="s">
        <v>63</v>
      </c>
      <c r="D6" s="10">
        <v>3517.44</v>
      </c>
      <c r="E6" s="7">
        <f t="shared" si="0"/>
        <v>1.2043847543347034E-2</v>
      </c>
      <c r="F6" s="8">
        <f t="shared" si="1"/>
        <v>3613.15</v>
      </c>
      <c r="G6" s="8">
        <f t="shared" si="2"/>
        <v>903.28750000000002</v>
      </c>
      <c r="H6" s="8">
        <f t="shared" si="3"/>
        <v>180.6575</v>
      </c>
    </row>
    <row r="7" spans="1:8" x14ac:dyDescent="0.3">
      <c r="A7" s="1">
        <v>6</v>
      </c>
      <c r="B7" s="5" t="s">
        <v>11</v>
      </c>
      <c r="C7" s="5" t="s">
        <v>64</v>
      </c>
      <c r="D7" s="6">
        <v>5013.68</v>
      </c>
      <c r="E7" s="7">
        <f t="shared" si="0"/>
        <v>1.7167029871477026E-2</v>
      </c>
      <c r="F7" s="8">
        <f t="shared" si="1"/>
        <v>5150.1099999999997</v>
      </c>
      <c r="G7" s="8">
        <f t="shared" si="2"/>
        <v>1287.5274999999999</v>
      </c>
      <c r="H7" s="8">
        <f t="shared" si="3"/>
        <v>257.50549999999998</v>
      </c>
    </row>
    <row r="8" spans="1:8" x14ac:dyDescent="0.3">
      <c r="A8" s="1">
        <v>7</v>
      </c>
      <c r="B8" s="5" t="s">
        <v>12</v>
      </c>
      <c r="C8" s="5" t="s">
        <v>64</v>
      </c>
      <c r="D8" s="6">
        <v>7023</v>
      </c>
      <c r="E8" s="7">
        <f t="shared" si="0"/>
        <v>2.4047017517548619E-2</v>
      </c>
      <c r="F8" s="8">
        <f t="shared" si="1"/>
        <v>7214.11</v>
      </c>
      <c r="G8" s="8">
        <f t="shared" si="2"/>
        <v>1803.5274999999999</v>
      </c>
      <c r="H8" s="8">
        <f t="shared" si="3"/>
        <v>360.70549999999997</v>
      </c>
    </row>
    <row r="9" spans="1:8" x14ac:dyDescent="0.3">
      <c r="A9" s="1">
        <v>8</v>
      </c>
      <c r="B9" s="9" t="s">
        <v>13</v>
      </c>
      <c r="C9" s="5" t="s">
        <v>64</v>
      </c>
      <c r="D9" s="6">
        <v>888</v>
      </c>
      <c r="E9" s="7">
        <f t="shared" si="0"/>
        <v>3.0405455724879927E-3</v>
      </c>
      <c r="F9" s="8">
        <f t="shared" si="1"/>
        <v>912.16</v>
      </c>
      <c r="G9" s="8">
        <f t="shared" si="2"/>
        <v>228.04</v>
      </c>
      <c r="H9" s="8">
        <f t="shared" si="3"/>
        <v>45.607999999999997</v>
      </c>
    </row>
    <row r="10" spans="1:8" x14ac:dyDescent="0.3">
      <c r="A10" s="1">
        <v>9</v>
      </c>
      <c r="B10" s="5" t="s">
        <v>14</v>
      </c>
      <c r="C10" s="5" t="s">
        <v>64</v>
      </c>
      <c r="D10" s="6">
        <v>3884</v>
      </c>
      <c r="E10" s="7">
        <f t="shared" si="0"/>
        <v>1.3298962841828113E-2</v>
      </c>
      <c r="F10" s="8">
        <f t="shared" si="1"/>
        <v>3989.69</v>
      </c>
      <c r="G10" s="8">
        <f t="shared" si="2"/>
        <v>997.42250000000001</v>
      </c>
      <c r="H10" s="8">
        <f t="shared" si="3"/>
        <v>199.4845</v>
      </c>
    </row>
    <row r="11" spans="1:8" x14ac:dyDescent="0.3">
      <c r="A11" s="1">
        <v>10</v>
      </c>
      <c r="B11" s="5" t="s">
        <v>15</v>
      </c>
      <c r="C11" s="5" t="s">
        <v>64</v>
      </c>
      <c r="D11" s="6">
        <v>2124</v>
      </c>
      <c r="E11" s="7">
        <f t="shared" si="0"/>
        <v>7.272656301761821E-3</v>
      </c>
      <c r="F11" s="8">
        <f t="shared" si="1"/>
        <v>2181.8000000000002</v>
      </c>
      <c r="G11" s="8">
        <f t="shared" si="2"/>
        <v>545.45000000000005</v>
      </c>
      <c r="H11" s="8">
        <f t="shared" si="3"/>
        <v>109.09</v>
      </c>
    </row>
    <row r="12" spans="1:8" x14ac:dyDescent="0.3">
      <c r="A12" s="1">
        <v>11</v>
      </c>
      <c r="B12" s="5" t="s">
        <v>16</v>
      </c>
      <c r="C12" s="5" t="s">
        <v>65</v>
      </c>
      <c r="D12" s="6">
        <v>2264.5</v>
      </c>
      <c r="E12" s="7">
        <f t="shared" si="0"/>
        <v>7.7537336136250671E-3</v>
      </c>
      <c r="F12" s="8">
        <f t="shared" si="1"/>
        <v>2326.12</v>
      </c>
      <c r="G12" s="8">
        <f t="shared" si="2"/>
        <v>581.53</v>
      </c>
      <c r="H12" s="8">
        <f t="shared" si="3"/>
        <v>116.306</v>
      </c>
    </row>
    <row r="13" spans="1:8" x14ac:dyDescent="0.3">
      <c r="A13" s="1">
        <v>12</v>
      </c>
      <c r="B13" s="5" t="s">
        <v>17</v>
      </c>
      <c r="C13" s="5" t="s">
        <v>65</v>
      </c>
      <c r="D13" s="6">
        <v>1400</v>
      </c>
      <c r="E13" s="7">
        <f t="shared" si="0"/>
        <v>4.7936529295981873E-3</v>
      </c>
      <c r="F13" s="8">
        <f t="shared" si="1"/>
        <v>1438.1</v>
      </c>
      <c r="G13" s="8">
        <f t="shared" si="2"/>
        <v>359.52499999999998</v>
      </c>
      <c r="H13" s="8">
        <f t="shared" si="3"/>
        <v>71.905000000000001</v>
      </c>
    </row>
    <row r="14" spans="1:8" x14ac:dyDescent="0.3">
      <c r="A14" s="1">
        <v>13</v>
      </c>
      <c r="B14" s="5" t="s">
        <v>18</v>
      </c>
      <c r="C14" s="5" t="s">
        <v>66</v>
      </c>
      <c r="D14" s="6">
        <v>13397.2</v>
      </c>
      <c r="E14" s="7">
        <f t="shared" si="0"/>
        <v>4.5872519306009163E-2</v>
      </c>
      <c r="F14" s="8">
        <f t="shared" si="1"/>
        <v>13761.76</v>
      </c>
      <c r="G14" s="8">
        <f t="shared" si="2"/>
        <v>3440.44</v>
      </c>
      <c r="H14" s="8">
        <f t="shared" si="3"/>
        <v>688.08799999999997</v>
      </c>
    </row>
    <row r="15" spans="1:8" x14ac:dyDescent="0.3">
      <c r="A15" s="1">
        <v>14</v>
      </c>
      <c r="B15" s="5" t="s">
        <v>19</v>
      </c>
      <c r="C15" s="5" t="s">
        <v>66</v>
      </c>
      <c r="D15" s="6">
        <v>4638.2</v>
      </c>
      <c r="E15" s="7">
        <f t="shared" si="0"/>
        <v>1.5881372155758793E-2</v>
      </c>
      <c r="F15" s="8">
        <f t="shared" si="1"/>
        <v>4764.41</v>
      </c>
      <c r="G15" s="8">
        <f t="shared" si="2"/>
        <v>1191.1025</v>
      </c>
      <c r="H15" s="8">
        <f t="shared" si="3"/>
        <v>238.22049999999999</v>
      </c>
    </row>
    <row r="16" spans="1:8" x14ac:dyDescent="0.3">
      <c r="A16" s="1">
        <v>15</v>
      </c>
      <c r="B16" s="5" t="s">
        <v>20</v>
      </c>
      <c r="C16" s="5" t="s">
        <v>66</v>
      </c>
      <c r="D16" s="2">
        <v>0</v>
      </c>
      <c r="E16" s="7">
        <f t="shared" si="0"/>
        <v>0</v>
      </c>
      <c r="F16" s="8">
        <f t="shared" si="1"/>
        <v>0</v>
      </c>
      <c r="G16" s="8">
        <f t="shared" si="2"/>
        <v>0</v>
      </c>
      <c r="H16" s="8">
        <f t="shared" si="3"/>
        <v>0</v>
      </c>
    </row>
    <row r="17" spans="1:8" x14ac:dyDescent="0.3">
      <c r="A17" s="1">
        <v>16</v>
      </c>
      <c r="B17" s="5" t="s">
        <v>21</v>
      </c>
      <c r="C17" s="5" t="s">
        <v>67</v>
      </c>
      <c r="D17" s="6">
        <v>5304</v>
      </c>
      <c r="E17" s="7">
        <f t="shared" si="0"/>
        <v>1.8161096527563418E-2</v>
      </c>
      <c r="F17" s="8">
        <f t="shared" si="1"/>
        <v>5448.33</v>
      </c>
      <c r="G17" s="8">
        <f t="shared" si="2"/>
        <v>1362.0825</v>
      </c>
      <c r="H17" s="8">
        <f t="shared" si="3"/>
        <v>272.41649999999998</v>
      </c>
    </row>
    <row r="18" spans="1:8" x14ac:dyDescent="0.3">
      <c r="A18" s="1">
        <v>17</v>
      </c>
      <c r="B18" s="5" t="s">
        <v>22</v>
      </c>
      <c r="C18" s="5" t="s">
        <v>67</v>
      </c>
      <c r="D18" s="6">
        <v>4380.72</v>
      </c>
      <c r="E18" s="7">
        <f t="shared" si="0"/>
        <v>1.499975090124955E-2</v>
      </c>
      <c r="F18" s="8">
        <f t="shared" si="1"/>
        <v>4499.93</v>
      </c>
      <c r="G18" s="8">
        <f t="shared" si="2"/>
        <v>1124.9825000000001</v>
      </c>
      <c r="H18" s="8">
        <f t="shared" si="3"/>
        <v>224.99650000000003</v>
      </c>
    </row>
    <row r="19" spans="1:8" x14ac:dyDescent="0.3">
      <c r="A19" s="1">
        <v>18</v>
      </c>
      <c r="B19" s="5" t="s">
        <v>23</v>
      </c>
      <c r="C19" s="5" t="s">
        <v>67</v>
      </c>
      <c r="D19" s="6">
        <v>38416.25</v>
      </c>
      <c r="E19" s="7">
        <f t="shared" si="0"/>
        <v>0.13153869239762597</v>
      </c>
      <c r="F19" s="8">
        <f t="shared" si="1"/>
        <v>39461.61</v>
      </c>
      <c r="G19" s="8">
        <f t="shared" si="2"/>
        <v>9865.4025000000001</v>
      </c>
      <c r="H19" s="8">
        <f t="shared" si="3"/>
        <v>1973.0805</v>
      </c>
    </row>
    <row r="20" spans="1:8" x14ac:dyDescent="0.3">
      <c r="A20" s="1">
        <v>19</v>
      </c>
      <c r="B20" s="5" t="s">
        <v>24</v>
      </c>
      <c r="C20" s="5" t="s">
        <v>67</v>
      </c>
      <c r="D20" s="6">
        <v>10441.799999999999</v>
      </c>
      <c r="E20" s="7">
        <f t="shared" si="0"/>
        <v>3.5753117971627391E-2</v>
      </c>
      <c r="F20" s="8">
        <f t="shared" si="1"/>
        <v>10725.94</v>
      </c>
      <c r="G20" s="8">
        <f t="shared" si="2"/>
        <v>2681.4850000000001</v>
      </c>
      <c r="H20" s="8">
        <f t="shared" si="3"/>
        <v>536.29700000000003</v>
      </c>
    </row>
    <row r="21" spans="1:8" x14ac:dyDescent="0.3">
      <c r="A21" s="1">
        <v>20</v>
      </c>
      <c r="B21" s="5" t="s">
        <v>25</v>
      </c>
      <c r="C21" s="5" t="s">
        <v>67</v>
      </c>
      <c r="D21" s="10">
        <v>6605.9</v>
      </c>
      <c r="E21" s="7">
        <f t="shared" si="0"/>
        <v>2.2618851348309044E-2</v>
      </c>
      <c r="F21" s="8">
        <f t="shared" si="1"/>
        <v>6785.66</v>
      </c>
      <c r="G21" s="8">
        <f t="shared" si="2"/>
        <v>1696.415</v>
      </c>
      <c r="H21" s="8">
        <f t="shared" si="3"/>
        <v>339.28300000000002</v>
      </c>
    </row>
    <row r="22" spans="1:8" x14ac:dyDescent="0.3">
      <c r="A22" s="1">
        <v>21</v>
      </c>
      <c r="B22" s="5" t="s">
        <v>26</v>
      </c>
      <c r="C22" s="5" t="s">
        <v>67</v>
      </c>
      <c r="D22" s="10">
        <v>5949.4</v>
      </c>
      <c r="E22" s="7">
        <f t="shared" si="0"/>
        <v>2.0370970528108181E-2</v>
      </c>
      <c r="F22" s="8">
        <f t="shared" si="1"/>
        <v>6111.29</v>
      </c>
      <c r="G22" s="8">
        <f t="shared" si="2"/>
        <v>1527.8225</v>
      </c>
      <c r="H22" s="8">
        <f t="shared" si="3"/>
        <v>305.56450000000001</v>
      </c>
    </row>
    <row r="23" spans="1:8" x14ac:dyDescent="0.3">
      <c r="A23" s="1">
        <v>22</v>
      </c>
      <c r="B23" s="5" t="s">
        <v>27</v>
      </c>
      <c r="C23" s="5" t="s">
        <v>67</v>
      </c>
      <c r="D23" s="6">
        <v>39365.61</v>
      </c>
      <c r="E23" s="7">
        <f t="shared" si="0"/>
        <v>0.13478933692994263</v>
      </c>
      <c r="F23" s="8">
        <f t="shared" si="1"/>
        <v>40436.800000000003</v>
      </c>
      <c r="G23" s="8">
        <f t="shared" si="2"/>
        <v>10109.200000000001</v>
      </c>
      <c r="H23" s="8">
        <f t="shared" si="3"/>
        <v>2021.8400000000001</v>
      </c>
    </row>
    <row r="24" spans="1:8" x14ac:dyDescent="0.3">
      <c r="A24" s="1">
        <v>23</v>
      </c>
      <c r="B24" s="5" t="s">
        <v>28</v>
      </c>
      <c r="C24" s="5" t="s">
        <v>67</v>
      </c>
      <c r="D24" s="6">
        <v>6771.6</v>
      </c>
      <c r="E24" s="7">
        <f t="shared" si="0"/>
        <v>2.3186214412905061E-2</v>
      </c>
      <c r="F24" s="8">
        <f t="shared" si="1"/>
        <v>6955.86</v>
      </c>
      <c r="G24" s="8">
        <f t="shared" si="2"/>
        <v>1738.9649999999999</v>
      </c>
      <c r="H24" s="8">
        <f t="shared" si="3"/>
        <v>347.79300000000001</v>
      </c>
    </row>
    <row r="25" spans="1:8" x14ac:dyDescent="0.3">
      <c r="A25" s="1">
        <v>24</v>
      </c>
      <c r="B25" s="5" t="s">
        <v>29</v>
      </c>
      <c r="C25" s="5" t="s">
        <v>67</v>
      </c>
      <c r="D25" s="6">
        <v>12981.05</v>
      </c>
      <c r="E25" s="7">
        <f t="shared" si="0"/>
        <v>4.4447605972686099E-2</v>
      </c>
      <c r="F25" s="8">
        <f t="shared" si="1"/>
        <v>13334.28</v>
      </c>
      <c r="G25" s="8">
        <f t="shared" si="2"/>
        <v>3333.57</v>
      </c>
      <c r="H25" s="8">
        <f t="shared" si="3"/>
        <v>666.71400000000006</v>
      </c>
    </row>
    <row r="26" spans="1:8" x14ac:dyDescent="0.3">
      <c r="A26" s="1">
        <v>25</v>
      </c>
      <c r="B26" s="9" t="s">
        <v>30</v>
      </c>
      <c r="C26" s="5" t="s">
        <v>67</v>
      </c>
      <c r="D26" s="11">
        <v>3670.7</v>
      </c>
      <c r="E26" s="7">
        <f t="shared" si="0"/>
        <v>1.256861557762576E-2</v>
      </c>
      <c r="F26" s="8">
        <f t="shared" si="1"/>
        <v>3770.58</v>
      </c>
      <c r="G26" s="8">
        <f t="shared" si="2"/>
        <v>942.64499999999998</v>
      </c>
      <c r="H26" s="8">
        <f t="shared" si="3"/>
        <v>188.529</v>
      </c>
    </row>
    <row r="27" spans="1:8" x14ac:dyDescent="0.3">
      <c r="A27" s="1">
        <v>26</v>
      </c>
      <c r="B27" s="9" t="s">
        <v>31</v>
      </c>
      <c r="C27" s="5" t="s">
        <v>67</v>
      </c>
      <c r="D27" s="11">
        <v>7936.5</v>
      </c>
      <c r="E27" s="7">
        <f t="shared" si="0"/>
        <v>2.7174876054111435E-2</v>
      </c>
      <c r="F27" s="8">
        <f t="shared" si="1"/>
        <v>8152.46</v>
      </c>
      <c r="G27" s="8">
        <f t="shared" si="2"/>
        <v>2038.115</v>
      </c>
      <c r="H27" s="8">
        <f t="shared" si="3"/>
        <v>407.62299999999999</v>
      </c>
    </row>
    <row r="28" spans="1:8" x14ac:dyDescent="0.3">
      <c r="A28" s="1">
        <v>27</v>
      </c>
      <c r="B28" s="5" t="s">
        <v>32</v>
      </c>
      <c r="C28" s="5" t="s">
        <v>67</v>
      </c>
      <c r="D28" s="6">
        <v>7430</v>
      </c>
      <c r="E28" s="7">
        <f t="shared" si="0"/>
        <v>2.5440600904938947E-2</v>
      </c>
      <c r="F28" s="8">
        <f t="shared" si="1"/>
        <v>7632.18</v>
      </c>
      <c r="G28" s="8">
        <f t="shared" si="2"/>
        <v>1908.0450000000001</v>
      </c>
      <c r="H28" s="8">
        <f t="shared" si="3"/>
        <v>381.60900000000004</v>
      </c>
    </row>
    <row r="29" spans="1:8" x14ac:dyDescent="0.3">
      <c r="A29" s="1">
        <v>28</v>
      </c>
      <c r="B29" s="5" t="s">
        <v>33</v>
      </c>
      <c r="C29" s="5" t="s">
        <v>33</v>
      </c>
      <c r="D29" s="6">
        <v>7040.2</v>
      </c>
      <c r="E29" s="7">
        <f t="shared" si="0"/>
        <v>2.4105910967826539E-2</v>
      </c>
      <c r="F29" s="8">
        <f t="shared" si="1"/>
        <v>7231.77</v>
      </c>
      <c r="G29" s="8">
        <f t="shared" si="2"/>
        <v>1807.9425000000001</v>
      </c>
      <c r="H29" s="8">
        <f t="shared" si="3"/>
        <v>361.58850000000001</v>
      </c>
    </row>
    <row r="30" spans="1:8" x14ac:dyDescent="0.3">
      <c r="A30" s="1">
        <v>29</v>
      </c>
      <c r="B30" s="9" t="s">
        <v>34</v>
      </c>
      <c r="C30" s="9" t="s">
        <v>68</v>
      </c>
      <c r="D30" s="11">
        <v>2576</v>
      </c>
      <c r="E30" s="7">
        <f t="shared" si="0"/>
        <v>8.8203213904606646E-3</v>
      </c>
      <c r="F30" s="8">
        <f t="shared" si="1"/>
        <v>2646.1</v>
      </c>
      <c r="G30" s="8">
        <f t="shared" si="2"/>
        <v>661.52499999999998</v>
      </c>
      <c r="H30" s="8">
        <f t="shared" si="3"/>
        <v>132.30500000000001</v>
      </c>
    </row>
    <row r="31" spans="1:8" x14ac:dyDescent="0.3">
      <c r="A31" s="1">
        <v>30</v>
      </c>
      <c r="B31" s="9" t="s">
        <v>35</v>
      </c>
      <c r="C31" s="9" t="s">
        <v>68</v>
      </c>
      <c r="D31" s="11">
        <v>2576</v>
      </c>
      <c r="E31" s="7">
        <f t="shared" si="0"/>
        <v>8.8203213904606646E-3</v>
      </c>
      <c r="F31" s="8">
        <f t="shared" si="1"/>
        <v>2646.1</v>
      </c>
      <c r="G31" s="8">
        <f t="shared" si="2"/>
        <v>661.52499999999998</v>
      </c>
      <c r="H31" s="8">
        <f t="shared" si="3"/>
        <v>132.30500000000001</v>
      </c>
    </row>
    <row r="32" spans="1:8" x14ac:dyDescent="0.3">
      <c r="A32" s="1">
        <v>31</v>
      </c>
      <c r="B32" s="9" t="s">
        <v>36</v>
      </c>
      <c r="C32" s="9" t="s">
        <v>68</v>
      </c>
      <c r="D32" s="11">
        <v>2576</v>
      </c>
      <c r="E32" s="7">
        <f t="shared" si="0"/>
        <v>8.8203213904606646E-3</v>
      </c>
      <c r="F32" s="8">
        <f t="shared" si="1"/>
        <v>2646.1</v>
      </c>
      <c r="G32" s="8">
        <f t="shared" si="2"/>
        <v>661.52499999999998</v>
      </c>
      <c r="H32" s="8">
        <f t="shared" si="3"/>
        <v>132.30500000000001</v>
      </c>
    </row>
    <row r="33" spans="1:8" x14ac:dyDescent="0.3">
      <c r="A33" s="1">
        <v>32</v>
      </c>
      <c r="B33" s="9" t="s">
        <v>37</v>
      </c>
      <c r="C33" s="9" t="s">
        <v>68</v>
      </c>
      <c r="D33" s="11">
        <v>12208</v>
      </c>
      <c r="E33" s="7">
        <f t="shared" si="0"/>
        <v>4.1800653546096189E-2</v>
      </c>
      <c r="F33" s="8">
        <f t="shared" si="1"/>
        <v>12540.2</v>
      </c>
      <c r="G33" s="8">
        <f t="shared" si="2"/>
        <v>3135.05</v>
      </c>
      <c r="H33" s="8">
        <f t="shared" si="3"/>
        <v>627.01</v>
      </c>
    </row>
    <row r="34" spans="1:8" x14ac:dyDescent="0.3">
      <c r="A34" s="1">
        <v>33</v>
      </c>
      <c r="B34" s="5" t="s">
        <v>38</v>
      </c>
      <c r="C34" s="9" t="s">
        <v>68</v>
      </c>
      <c r="D34" s="6">
        <v>1725</v>
      </c>
      <c r="E34" s="7">
        <f t="shared" si="0"/>
        <v>5.9064652168263378E-3</v>
      </c>
      <c r="F34" s="8">
        <f t="shared" si="1"/>
        <v>1771.94</v>
      </c>
      <c r="G34" s="8">
        <f t="shared" si="2"/>
        <v>442.98500000000001</v>
      </c>
      <c r="H34" s="8">
        <f t="shared" si="3"/>
        <v>88.597000000000008</v>
      </c>
    </row>
    <row r="35" spans="1:8" x14ac:dyDescent="0.3">
      <c r="A35" s="1">
        <v>34</v>
      </c>
      <c r="B35" s="5" t="s">
        <v>39</v>
      </c>
      <c r="C35" s="9" t="s">
        <v>68</v>
      </c>
      <c r="D35" s="6">
        <v>402</v>
      </c>
      <c r="E35" s="7">
        <f t="shared" si="0"/>
        <v>1.3764631983560508E-3</v>
      </c>
      <c r="F35" s="8">
        <f t="shared" si="1"/>
        <v>412.94</v>
      </c>
      <c r="G35" s="8">
        <f t="shared" si="2"/>
        <v>103.235</v>
      </c>
      <c r="H35" s="8">
        <f t="shared" si="3"/>
        <v>20.646999999999998</v>
      </c>
    </row>
    <row r="36" spans="1:8" x14ac:dyDescent="0.3">
      <c r="A36" s="1">
        <v>35</v>
      </c>
      <c r="B36" s="5" t="s">
        <v>40</v>
      </c>
      <c r="C36" s="9" t="s">
        <v>68</v>
      </c>
      <c r="D36" s="6">
        <v>1746</v>
      </c>
      <c r="E36" s="7">
        <f t="shared" si="0"/>
        <v>5.9783700107703102E-3</v>
      </c>
      <c r="F36" s="8">
        <f t="shared" si="1"/>
        <v>1793.51</v>
      </c>
      <c r="G36" s="8">
        <f t="shared" si="2"/>
        <v>448.3775</v>
      </c>
      <c r="H36" s="8">
        <f t="shared" si="3"/>
        <v>89.6755</v>
      </c>
    </row>
    <row r="37" spans="1:8" x14ac:dyDescent="0.3">
      <c r="A37" s="1">
        <v>36</v>
      </c>
      <c r="B37" s="5" t="s">
        <v>41</v>
      </c>
      <c r="C37" s="9" t="s">
        <v>68</v>
      </c>
      <c r="D37" s="6">
        <v>1515</v>
      </c>
      <c r="E37" s="7">
        <f t="shared" si="0"/>
        <v>5.1874172773866091E-3</v>
      </c>
      <c r="F37" s="8">
        <f t="shared" si="1"/>
        <v>1556.23</v>
      </c>
      <c r="G37" s="8">
        <f t="shared" si="2"/>
        <v>389.0575</v>
      </c>
      <c r="H37" s="8">
        <f t="shared" si="3"/>
        <v>77.811499999999995</v>
      </c>
    </row>
    <row r="38" spans="1:8" x14ac:dyDescent="0.3">
      <c r="A38" s="1">
        <v>37</v>
      </c>
      <c r="B38" s="9" t="s">
        <v>42</v>
      </c>
      <c r="C38" s="9" t="s">
        <v>69</v>
      </c>
      <c r="D38" s="11">
        <v>0</v>
      </c>
      <c r="E38" s="7">
        <f t="shared" si="0"/>
        <v>0</v>
      </c>
      <c r="F38" s="8">
        <f t="shared" si="1"/>
        <v>0</v>
      </c>
      <c r="G38" s="8">
        <f t="shared" si="2"/>
        <v>0</v>
      </c>
      <c r="H38" s="8">
        <f t="shared" si="3"/>
        <v>0</v>
      </c>
    </row>
    <row r="39" spans="1:8" x14ac:dyDescent="0.3">
      <c r="A39" s="1">
        <v>38</v>
      </c>
      <c r="B39" s="9" t="s">
        <v>43</v>
      </c>
      <c r="C39" s="9" t="s">
        <v>69</v>
      </c>
      <c r="D39" s="11">
        <v>1288</v>
      </c>
      <c r="E39" s="7">
        <f t="shared" si="0"/>
        <v>4.4101606952303323E-3</v>
      </c>
      <c r="F39" s="8">
        <f t="shared" si="1"/>
        <v>1323.05</v>
      </c>
      <c r="G39" s="8">
        <f t="shared" si="2"/>
        <v>330.76249999999999</v>
      </c>
      <c r="H39" s="8">
        <f t="shared" si="3"/>
        <v>66.152500000000003</v>
      </c>
    </row>
    <row r="40" spans="1:8" x14ac:dyDescent="0.3">
      <c r="A40" s="1">
        <v>39</v>
      </c>
      <c r="B40" s="9" t="s">
        <v>44</v>
      </c>
      <c r="C40" s="9" t="s">
        <v>69</v>
      </c>
      <c r="D40" s="11">
        <v>0</v>
      </c>
      <c r="E40" s="7">
        <f t="shared" si="0"/>
        <v>0</v>
      </c>
      <c r="F40" s="8">
        <f t="shared" si="1"/>
        <v>0</v>
      </c>
      <c r="G40" s="8">
        <f t="shared" si="2"/>
        <v>0</v>
      </c>
      <c r="H40" s="8">
        <f t="shared" si="3"/>
        <v>0</v>
      </c>
    </row>
    <row r="41" spans="1:8" x14ac:dyDescent="0.3">
      <c r="A41" s="1">
        <v>40</v>
      </c>
      <c r="B41" s="9" t="s">
        <v>45</v>
      </c>
      <c r="C41" s="9" t="s">
        <v>69</v>
      </c>
      <c r="D41" s="11">
        <v>0</v>
      </c>
      <c r="E41" s="7">
        <f t="shared" si="0"/>
        <v>0</v>
      </c>
      <c r="F41" s="8">
        <f t="shared" si="1"/>
        <v>0</v>
      </c>
      <c r="G41" s="8">
        <f t="shared" si="2"/>
        <v>0</v>
      </c>
      <c r="H41" s="8">
        <f t="shared" si="3"/>
        <v>0</v>
      </c>
    </row>
    <row r="42" spans="1:8" x14ac:dyDescent="0.3">
      <c r="A42" s="1">
        <v>41</v>
      </c>
      <c r="B42" s="5" t="s">
        <v>46</v>
      </c>
      <c r="C42" s="5" t="s">
        <v>70</v>
      </c>
      <c r="D42" s="10">
        <v>2383.4</v>
      </c>
      <c r="E42" s="7">
        <f t="shared" si="0"/>
        <v>8.1608517088602277E-3</v>
      </c>
      <c r="F42" s="8">
        <f t="shared" si="1"/>
        <v>2448.2600000000002</v>
      </c>
      <c r="G42" s="8">
        <f t="shared" si="2"/>
        <v>612.06500000000005</v>
      </c>
      <c r="H42" s="8">
        <f t="shared" si="3"/>
        <v>122.41300000000001</v>
      </c>
    </row>
    <row r="43" spans="1:8" x14ac:dyDescent="0.3">
      <c r="A43" s="1">
        <v>42</v>
      </c>
      <c r="B43" s="5" t="s">
        <v>47</v>
      </c>
      <c r="C43" s="5" t="s">
        <v>70</v>
      </c>
      <c r="D43" s="6">
        <v>2099</v>
      </c>
      <c r="E43" s="7">
        <f t="shared" si="0"/>
        <v>7.1870553565904242E-3</v>
      </c>
      <c r="F43" s="8">
        <f t="shared" si="1"/>
        <v>2156.12</v>
      </c>
      <c r="G43" s="8">
        <f t="shared" si="2"/>
        <v>539.03</v>
      </c>
      <c r="H43" s="8">
        <f t="shared" si="3"/>
        <v>107.806</v>
      </c>
    </row>
    <row r="44" spans="1:8" x14ac:dyDescent="0.3">
      <c r="A44" s="1">
        <v>43</v>
      </c>
      <c r="B44" s="5" t="s">
        <v>48</v>
      </c>
      <c r="C44" s="5" t="s">
        <v>70</v>
      </c>
      <c r="D44" s="10">
        <v>282.39999999999998</v>
      </c>
      <c r="E44" s="7">
        <f t="shared" si="0"/>
        <v>9.6694827665609129E-4</v>
      </c>
      <c r="F44" s="8">
        <f t="shared" si="1"/>
        <v>290.08</v>
      </c>
      <c r="G44" s="8">
        <f t="shared" si="2"/>
        <v>72.52</v>
      </c>
      <c r="H44" s="8">
        <f t="shared" si="3"/>
        <v>14.504</v>
      </c>
    </row>
    <row r="45" spans="1:8" x14ac:dyDescent="0.3">
      <c r="A45" s="1">
        <v>44</v>
      </c>
      <c r="B45" s="5" t="s">
        <v>49</v>
      </c>
      <c r="C45" s="5" t="s">
        <v>71</v>
      </c>
      <c r="D45" s="10">
        <v>917.2</v>
      </c>
      <c r="E45" s="7">
        <f t="shared" si="0"/>
        <v>3.1405274764481836E-3</v>
      </c>
      <c r="F45" s="8">
        <f t="shared" si="1"/>
        <v>942.16</v>
      </c>
      <c r="G45" s="8">
        <f t="shared" si="2"/>
        <v>235.54</v>
      </c>
      <c r="H45" s="8">
        <f t="shared" si="3"/>
        <v>47.107999999999997</v>
      </c>
    </row>
    <row r="46" spans="1:8" x14ac:dyDescent="0.3">
      <c r="A46" s="1">
        <v>45</v>
      </c>
      <c r="B46" s="5" t="s">
        <v>50</v>
      </c>
      <c r="C46" s="5" t="s">
        <v>71</v>
      </c>
      <c r="D46" s="10">
        <v>599</v>
      </c>
      <c r="E46" s="7">
        <f t="shared" si="0"/>
        <v>2.0509986463066528E-3</v>
      </c>
      <c r="F46" s="8">
        <f t="shared" si="1"/>
        <v>615.29999999999995</v>
      </c>
      <c r="G46" s="8">
        <f t="shared" si="2"/>
        <v>153.82499999999999</v>
      </c>
      <c r="H46" s="8">
        <f t="shared" si="3"/>
        <v>30.764999999999997</v>
      </c>
    </row>
    <row r="47" spans="1:8" x14ac:dyDescent="0.3">
      <c r="A47" s="1">
        <v>56</v>
      </c>
      <c r="B47" s="9" t="s">
        <v>51</v>
      </c>
      <c r="C47" s="9" t="s">
        <v>67</v>
      </c>
      <c r="D47" s="11">
        <v>5436.64</v>
      </c>
      <c r="E47" s="7">
        <f t="shared" si="0"/>
        <v>1.8615260902264778E-2</v>
      </c>
      <c r="F47" s="8">
        <f t="shared" si="1"/>
        <v>5584.58</v>
      </c>
      <c r="G47" s="8">
        <f t="shared" si="2"/>
        <v>1396.145</v>
      </c>
      <c r="H47" s="8">
        <f t="shared" si="3"/>
        <v>279.22899999999998</v>
      </c>
    </row>
    <row r="48" spans="1:8" x14ac:dyDescent="0.3">
      <c r="A48" s="1">
        <v>46</v>
      </c>
      <c r="B48" s="5" t="s">
        <v>52</v>
      </c>
      <c r="C48" s="9" t="s">
        <v>67</v>
      </c>
      <c r="D48" s="6">
        <v>8776.68</v>
      </c>
      <c r="E48" s="7">
        <f t="shared" si="0"/>
        <v>3.0051684138675584E-2</v>
      </c>
      <c r="F48" s="8">
        <f t="shared" si="1"/>
        <v>9015.51</v>
      </c>
      <c r="G48" s="8">
        <f t="shared" si="2"/>
        <v>2253.8775000000001</v>
      </c>
      <c r="H48" s="8">
        <f t="shared" si="3"/>
        <v>450.77550000000002</v>
      </c>
    </row>
    <row r="49" spans="1:8" x14ac:dyDescent="0.3">
      <c r="A49" s="1">
        <v>47</v>
      </c>
      <c r="B49" s="5" t="s">
        <v>53</v>
      </c>
      <c r="C49" s="9" t="s">
        <v>67</v>
      </c>
      <c r="D49" s="10">
        <v>5346.92</v>
      </c>
      <c r="E49" s="7">
        <f t="shared" si="0"/>
        <v>1.8308056230233669E-2</v>
      </c>
      <c r="F49" s="8">
        <f t="shared" si="1"/>
        <v>5492.42</v>
      </c>
      <c r="G49" s="8">
        <f t="shared" si="2"/>
        <v>1373.105</v>
      </c>
      <c r="H49" s="8">
        <f t="shared" si="3"/>
        <v>274.62099999999998</v>
      </c>
    </row>
    <row r="50" spans="1:8" x14ac:dyDescent="0.3">
      <c r="A50" s="1">
        <v>48</v>
      </c>
      <c r="B50" s="9" t="s">
        <v>72</v>
      </c>
      <c r="C50" s="9" t="s">
        <v>67</v>
      </c>
      <c r="D50" s="11">
        <v>6556.44</v>
      </c>
      <c r="E50" s="7">
        <f t="shared" si="0"/>
        <v>2.2449498438381954E-2</v>
      </c>
      <c r="F50" s="8">
        <f t="shared" si="1"/>
        <v>6734.85</v>
      </c>
      <c r="G50" s="8">
        <f t="shared" si="2"/>
        <v>1683.7125000000001</v>
      </c>
      <c r="H50" s="8">
        <f t="shared" si="3"/>
        <v>336.74250000000001</v>
      </c>
    </row>
    <row r="51" spans="1:8" x14ac:dyDescent="0.3">
      <c r="A51" s="1">
        <v>49</v>
      </c>
      <c r="B51" s="5" t="s">
        <v>54</v>
      </c>
      <c r="C51" s="9" t="s">
        <v>67</v>
      </c>
      <c r="D51" s="6">
        <v>11616</v>
      </c>
      <c r="E51" s="7">
        <f t="shared" si="0"/>
        <v>3.9773623164437527E-2</v>
      </c>
      <c r="F51" s="8">
        <f t="shared" si="1"/>
        <v>11932.09</v>
      </c>
      <c r="G51" s="8">
        <f t="shared" si="2"/>
        <v>2983.0225</v>
      </c>
      <c r="H51" s="8">
        <f t="shared" si="3"/>
        <v>596.60450000000003</v>
      </c>
    </row>
    <row r="52" spans="1:8" x14ac:dyDescent="0.3">
      <c r="A52" s="1">
        <v>50</v>
      </c>
      <c r="B52" s="5" t="s">
        <v>55</v>
      </c>
      <c r="C52" s="9" t="s">
        <v>67</v>
      </c>
      <c r="D52" s="6">
        <v>1742.4</v>
      </c>
      <c r="E52" s="7">
        <f t="shared" si="0"/>
        <v>5.9660434746656296E-3</v>
      </c>
      <c r="F52" s="8">
        <f t="shared" si="1"/>
        <v>1789.81</v>
      </c>
      <c r="G52" s="8">
        <f t="shared" si="2"/>
        <v>447.45249999999999</v>
      </c>
      <c r="H52" s="8">
        <f t="shared" si="3"/>
        <v>89.490499999999997</v>
      </c>
    </row>
    <row r="53" spans="1:8" x14ac:dyDescent="0.3">
      <c r="A53" s="1">
        <v>51</v>
      </c>
      <c r="B53" s="5" t="s">
        <v>56</v>
      </c>
      <c r="C53" s="9" t="s">
        <v>67</v>
      </c>
      <c r="D53" s="6">
        <v>6408.6</v>
      </c>
      <c r="E53" s="7">
        <f t="shared" si="0"/>
        <v>2.1943288689016387E-2</v>
      </c>
      <c r="F53" s="8">
        <f t="shared" si="1"/>
        <v>6582.99</v>
      </c>
      <c r="G53" s="8">
        <f t="shared" si="2"/>
        <v>1645.7474999999999</v>
      </c>
      <c r="H53" s="8">
        <f t="shared" si="3"/>
        <v>329.14949999999999</v>
      </c>
    </row>
    <row r="54" spans="1:8" x14ac:dyDescent="0.3">
      <c r="A54" s="1">
        <v>52</v>
      </c>
      <c r="B54" s="12" t="s">
        <v>57</v>
      </c>
      <c r="C54" s="12" t="s">
        <v>73</v>
      </c>
      <c r="D54" s="6">
        <v>598.79999999999995</v>
      </c>
      <c r="E54" s="7">
        <f t="shared" si="0"/>
        <v>2.0503138387452814E-3</v>
      </c>
      <c r="F54" s="8">
        <f t="shared" si="1"/>
        <v>615.09</v>
      </c>
      <c r="G54" s="8">
        <f t="shared" si="2"/>
        <v>153.77250000000001</v>
      </c>
      <c r="H54" s="8">
        <f t="shared" si="3"/>
        <v>30.7545</v>
      </c>
    </row>
    <row r="55" spans="1:8" x14ac:dyDescent="0.3">
      <c r="A55" s="1">
        <v>53</v>
      </c>
      <c r="B55" s="5" t="s">
        <v>58</v>
      </c>
      <c r="C55" s="12" t="s">
        <v>73</v>
      </c>
      <c r="D55" s="6">
        <v>874</v>
      </c>
      <c r="E55" s="7">
        <f t="shared" si="0"/>
        <v>2.992609043192011E-3</v>
      </c>
      <c r="F55" s="8">
        <f t="shared" si="1"/>
        <v>897.78</v>
      </c>
      <c r="G55" s="8">
        <f t="shared" si="2"/>
        <v>224.44499999999999</v>
      </c>
      <c r="H55" s="8">
        <f t="shared" si="3"/>
        <v>44.888999999999996</v>
      </c>
    </row>
    <row r="56" spans="1:8" x14ac:dyDescent="0.3">
      <c r="A56" s="1">
        <v>54</v>
      </c>
      <c r="B56" s="12" t="s">
        <v>59</v>
      </c>
      <c r="C56" s="12" t="s">
        <v>73</v>
      </c>
      <c r="D56" s="13">
        <v>0</v>
      </c>
      <c r="E56" s="7">
        <f t="shared" si="0"/>
        <v>0</v>
      </c>
      <c r="F56" s="8">
        <f t="shared" si="1"/>
        <v>0</v>
      </c>
      <c r="G56" s="8">
        <f t="shared" si="2"/>
        <v>0</v>
      </c>
      <c r="H56" s="8">
        <f t="shared" si="3"/>
        <v>0</v>
      </c>
    </row>
    <row r="57" spans="1:8" x14ac:dyDescent="0.3">
      <c r="A57" s="1">
        <v>55</v>
      </c>
      <c r="B57" s="5" t="s">
        <v>60</v>
      </c>
      <c r="C57" s="12" t="s">
        <v>73</v>
      </c>
      <c r="D57" s="6">
        <v>440</v>
      </c>
      <c r="E57" s="7">
        <f t="shared" si="0"/>
        <v>1.5065766350165731E-3</v>
      </c>
      <c r="F57" s="8">
        <f t="shared" si="1"/>
        <v>451.97</v>
      </c>
      <c r="G57" s="8">
        <f t="shared" si="2"/>
        <v>112.99250000000001</v>
      </c>
      <c r="H57" s="8">
        <f t="shared" si="3"/>
        <v>22.598500000000001</v>
      </c>
    </row>
    <row r="58" spans="1:8" s="4" customFormat="1" x14ac:dyDescent="0.3">
      <c r="A58" s="1"/>
      <c r="B58" s="1" t="s">
        <v>61</v>
      </c>
      <c r="C58" s="1"/>
      <c r="D58" s="2">
        <f>SUM(D2:D57)</f>
        <v>292052.85000000003</v>
      </c>
      <c r="E58" s="14">
        <f>SUM(E2:E57)</f>
        <v>0.99999999999999989</v>
      </c>
      <c r="F58" s="2">
        <f>SUM(F2:F57)</f>
        <v>300000.03999999992</v>
      </c>
      <c r="G58" s="2">
        <f>SUM(G2:G57)</f>
        <v>75000.00999999998</v>
      </c>
      <c r="H58" s="2">
        <f>SUM(H2:H57)</f>
        <v>15000.001999999999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Roberto</dc:creator>
  <cp:lastModifiedBy>Antonio Roberto</cp:lastModifiedBy>
  <dcterms:created xsi:type="dcterms:W3CDTF">2026-05-14T00:25:34Z</dcterms:created>
  <dcterms:modified xsi:type="dcterms:W3CDTF">2026-05-14T00:33:41Z</dcterms:modified>
</cp:coreProperties>
</file>